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phits\lecture\advanced\Shielding\"/>
    </mc:Choice>
  </mc:AlternateContent>
  <xr:revisionPtr revIDLastSave="0" documentId="13_ncr:1_{ADE5DBB8-A64F-4616-A1B6-7DB121968726}" xr6:coauthVersionLast="47" xr6:coauthVersionMax="47" xr10:uidLastSave="{00000000-0000-0000-0000-000000000000}"/>
  <bookViews>
    <workbookView xWindow="3330" yWindow="3330" windowWidth="21600" windowHeight="11385" xr2:uid="{00000000-000D-0000-FFFF-FFFF00000000}"/>
  </bookViews>
  <sheets>
    <sheet name="DIN" sheetId="1" r:id="rId1"/>
    <sheet name="Tes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2" l="1"/>
  <c r="B6" i="2"/>
  <c r="B17" i="1"/>
  <c r="B18" i="1" s="1"/>
  <c r="B15" i="1"/>
  <c r="B15" i="2" l="1"/>
  <c r="B19" i="1"/>
  <c r="B20" i="1" s="1"/>
</calcChain>
</file>

<file path=xl/sharedStrings.xml><?xml version="1.0" encoding="utf-8"?>
<sst xmlns="http://schemas.openxmlformats.org/spreadsheetml/2006/main" count="81" uniqueCount="42">
  <si>
    <t>S</t>
    <phoneticPr fontId="1"/>
  </si>
  <si>
    <t>MBq</t>
    <phoneticPr fontId="1"/>
  </si>
  <si>
    <r>
      <t>Γ</t>
    </r>
    <r>
      <rPr>
        <vertAlign val="subscript"/>
        <sz val="11"/>
        <color theme="1"/>
        <rFont val="Times New Roman"/>
        <family val="1"/>
      </rPr>
      <t>E</t>
    </r>
    <phoneticPr fontId="1"/>
  </si>
  <si>
    <r>
      <t>uSv h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MBq</t>
    </r>
    <r>
      <rPr>
        <vertAlign val="superscript"/>
        <sz val="11"/>
        <color theme="1"/>
        <rFont val="Times New Roman"/>
        <family val="1"/>
      </rPr>
      <t>-1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2</t>
    </r>
    <phoneticPr fontId="1"/>
  </si>
  <si>
    <t>w</t>
    <phoneticPr fontId="1"/>
  </si>
  <si>
    <t>B</t>
    <phoneticPr fontId="1"/>
  </si>
  <si>
    <r>
      <t>A</t>
    </r>
    <r>
      <rPr>
        <vertAlign val="subscript"/>
        <sz val="11"/>
        <color theme="1"/>
        <rFont val="Times New Roman"/>
        <family val="1"/>
      </rPr>
      <t>1</t>
    </r>
    <phoneticPr fontId="1"/>
  </si>
  <si>
    <r>
      <t>A</t>
    </r>
    <r>
      <rPr>
        <vertAlign val="subscript"/>
        <sz val="11"/>
        <color theme="1"/>
        <rFont val="Times New Roman"/>
        <family val="1"/>
      </rPr>
      <t>2</t>
    </r>
    <phoneticPr fontId="1"/>
  </si>
  <si>
    <t>m</t>
    <phoneticPr fontId="1"/>
  </si>
  <si>
    <r>
      <t>L</t>
    </r>
    <r>
      <rPr>
        <vertAlign val="subscript"/>
        <sz val="11"/>
        <color theme="1"/>
        <rFont val="Times New Roman"/>
        <family val="1"/>
      </rPr>
      <t>0</t>
    </r>
    <phoneticPr fontId="1"/>
  </si>
  <si>
    <r>
      <t>L</t>
    </r>
    <r>
      <rPr>
        <vertAlign val="subscript"/>
        <sz val="11"/>
        <color theme="1"/>
        <rFont val="Times New Roman"/>
        <family val="1"/>
      </rPr>
      <t>1</t>
    </r>
    <phoneticPr fontId="1"/>
  </si>
  <si>
    <r>
      <t>L</t>
    </r>
    <r>
      <rPr>
        <vertAlign val="subscript"/>
        <sz val="11"/>
        <color theme="1"/>
        <rFont val="Times New Roman"/>
        <family val="1"/>
      </rPr>
      <t>2</t>
    </r>
    <phoneticPr fontId="1"/>
  </si>
  <si>
    <r>
      <t>L</t>
    </r>
    <r>
      <rPr>
        <vertAlign val="subscript"/>
        <sz val="11"/>
        <color theme="1"/>
        <rFont val="Times New Roman"/>
        <family val="1"/>
      </rPr>
      <t>3</t>
    </r>
    <phoneticPr fontId="1"/>
  </si>
  <si>
    <t>W</t>
    <phoneticPr fontId="1"/>
  </si>
  <si>
    <t>H</t>
    <phoneticPr fontId="1"/>
  </si>
  <si>
    <r>
      <t>D</t>
    </r>
    <r>
      <rPr>
        <vertAlign val="subscript"/>
        <sz val="11"/>
        <color theme="1"/>
        <rFont val="Times New Roman"/>
        <family val="1"/>
      </rPr>
      <t>0</t>
    </r>
    <phoneticPr fontId="1"/>
  </si>
  <si>
    <r>
      <t>D</t>
    </r>
    <r>
      <rPr>
        <vertAlign val="subscript"/>
        <sz val="11"/>
        <color theme="1"/>
        <rFont val="Times New Roman"/>
        <family val="1"/>
      </rPr>
      <t>1</t>
    </r>
    <phoneticPr fontId="1"/>
  </si>
  <si>
    <r>
      <t>D</t>
    </r>
    <r>
      <rPr>
        <vertAlign val="subscript"/>
        <sz val="11"/>
        <color theme="1"/>
        <rFont val="Times New Roman"/>
        <family val="1"/>
      </rPr>
      <t>2</t>
    </r>
    <phoneticPr fontId="1"/>
  </si>
  <si>
    <r>
      <t>D</t>
    </r>
    <r>
      <rPr>
        <vertAlign val="subscript"/>
        <sz val="11"/>
        <color theme="1"/>
        <rFont val="Times New Roman"/>
        <family val="1"/>
      </rPr>
      <t>3</t>
    </r>
    <phoneticPr fontId="1"/>
  </si>
  <si>
    <r>
      <t>uSv h</t>
    </r>
    <r>
      <rPr>
        <vertAlign val="superscript"/>
        <sz val="11"/>
        <color theme="1"/>
        <rFont val="Times New Roman"/>
        <family val="1"/>
      </rPr>
      <t>-1</t>
    </r>
    <phoneticPr fontId="1"/>
  </si>
  <si>
    <t>Parameters related to source and model</t>
    <phoneticPr fontId="1"/>
  </si>
  <si>
    <t>Parameters related to geometry</t>
    <phoneticPr fontId="1"/>
  </si>
  <si>
    <t>Input</t>
    <phoneticPr fontId="1"/>
  </si>
  <si>
    <t>Output</t>
    <phoneticPr fontId="1"/>
  </si>
  <si>
    <t>Input/Output</t>
    <phoneticPr fontId="1"/>
  </si>
  <si>
    <r>
      <t>Sv 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/ proton</t>
    </r>
    <phoneticPr fontId="1"/>
  </si>
  <si>
    <t>Beam power</t>
    <phoneticPr fontId="1"/>
  </si>
  <si>
    <r>
      <t>g/cm</t>
    </r>
    <r>
      <rPr>
        <vertAlign val="superscript"/>
        <sz val="11"/>
        <color theme="1"/>
        <rFont val="Times New Roman"/>
        <family val="1"/>
      </rPr>
      <t>2</t>
    </r>
    <phoneticPr fontId="1"/>
  </si>
  <si>
    <t>proton/sec</t>
    <phoneticPr fontId="1"/>
  </si>
  <si>
    <t>Bean energy</t>
    <phoneticPr fontId="1"/>
  </si>
  <si>
    <t>MeV</t>
    <phoneticPr fontId="1"/>
  </si>
  <si>
    <t>Sv/sec</t>
    <phoneticPr fontId="1"/>
  </si>
  <si>
    <r>
      <t>g/cm</t>
    </r>
    <r>
      <rPr>
        <vertAlign val="superscript"/>
        <sz val="11"/>
        <color theme="1"/>
        <rFont val="Times New Roman"/>
        <family val="1"/>
      </rPr>
      <t>3</t>
    </r>
    <phoneticPr fontId="1"/>
  </si>
  <si>
    <t>cm</t>
    <phoneticPr fontId="1"/>
  </si>
  <si>
    <t>Density of shield</t>
    <phoneticPr fontId="1"/>
  </si>
  <si>
    <t>Thickness of shield</t>
    <phoneticPr fontId="1"/>
  </si>
  <si>
    <r>
      <t xml:space="preserve">Distance between target &amp; evaluation point, </t>
    </r>
    <r>
      <rPr>
        <i/>
        <sz val="11"/>
        <color theme="1"/>
        <rFont val="Times New Roman"/>
        <family val="1"/>
      </rPr>
      <t>r</t>
    </r>
    <phoneticPr fontId="1"/>
  </si>
  <si>
    <r>
      <t xml:space="preserve">Mass thickness of shield, </t>
    </r>
    <r>
      <rPr>
        <i/>
        <sz val="11"/>
        <color theme="1"/>
        <rFont val="Times New Roman"/>
        <family val="1"/>
      </rPr>
      <t>d</t>
    </r>
    <phoneticPr fontId="1"/>
  </si>
  <si>
    <r>
      <t xml:space="preserve">Ambient dose equivalent at evaluation point, </t>
    </r>
    <r>
      <rPr>
        <i/>
        <sz val="11"/>
        <color theme="1"/>
        <rFont val="Times New Roman"/>
        <family val="1"/>
      </rPr>
      <t>H</t>
    </r>
    <phoneticPr fontId="1"/>
  </si>
  <si>
    <r>
      <t xml:space="preserve">Beam loss rate, </t>
    </r>
    <r>
      <rPr>
        <i/>
        <sz val="11"/>
        <color theme="1"/>
        <rFont val="Times New Roman"/>
        <family val="1"/>
      </rPr>
      <t>J</t>
    </r>
    <phoneticPr fontId="1"/>
  </si>
  <si>
    <r>
      <t>Dose attenuation length, λ(E</t>
    </r>
    <r>
      <rPr>
        <vertAlign val="subscript"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)</t>
    </r>
    <phoneticPr fontId="1"/>
  </si>
  <si>
    <r>
      <t xml:space="preserve">Ambient dose equivalent per proton at 1 m, </t>
    </r>
    <r>
      <rPr>
        <i/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Yu Gothic"/>
        <family val="1"/>
        <charset val="128"/>
      </rPr>
      <t>casc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</si>
</sst>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Yu Gothic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5" fillId="0" borderId="0" xfId="0" applyFont="1"/>
    <xf numFmtId="0" fontId="2" fillId="2" borderId="0" xfId="0" applyFont="1" applyFill="1"/>
    <xf numFmtId="0" fontId="2" fillId="0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15" sqref="A15"/>
    </sheetView>
  </sheetViews>
  <sheetFormatPr defaultRowHeight="15"/>
  <cols>
    <col min="1" max="1" width="9" style="1"/>
    <col min="2" max="2" width="9.5" style="1" bestFit="1" customWidth="1"/>
    <col min="3" max="3" width="14.375" style="1" customWidth="1"/>
    <col min="4" max="16384" width="9" style="1"/>
  </cols>
  <sheetData>
    <row r="1" spans="1:4">
      <c r="A1" s="1" t="s">
        <v>20</v>
      </c>
      <c r="D1" s="1" t="s">
        <v>24</v>
      </c>
    </row>
    <row r="2" spans="1:4">
      <c r="A2" s="3" t="s">
        <v>0</v>
      </c>
      <c r="B2" s="2">
        <v>200000</v>
      </c>
      <c r="C2" s="1" t="s">
        <v>1</v>
      </c>
      <c r="D2" s="1" t="s">
        <v>22</v>
      </c>
    </row>
    <row r="3" spans="1:4" ht="18.75">
      <c r="A3" s="3" t="s">
        <v>2</v>
      </c>
      <c r="B3" s="1">
        <v>0.11700000000000001</v>
      </c>
      <c r="C3" s="1" t="s">
        <v>3</v>
      </c>
      <c r="D3" s="1" t="s">
        <v>22</v>
      </c>
    </row>
    <row r="4" spans="1:4" ht="16.5">
      <c r="A4" s="3" t="s">
        <v>6</v>
      </c>
      <c r="B4" s="1">
        <v>0.08</v>
      </c>
      <c r="D4" s="1" t="s">
        <v>22</v>
      </c>
    </row>
    <row r="5" spans="1:4" ht="16.5">
      <c r="A5" s="3" t="s">
        <v>7</v>
      </c>
      <c r="B5" s="1">
        <v>0.08</v>
      </c>
      <c r="D5" s="1" t="s">
        <v>22</v>
      </c>
    </row>
    <row r="6" spans="1:4">
      <c r="A6" s="3" t="s">
        <v>5</v>
      </c>
      <c r="B6" s="1">
        <v>1.5</v>
      </c>
      <c r="D6" s="1" t="s">
        <v>22</v>
      </c>
    </row>
    <row r="8" spans="1:4">
      <c r="A8" s="1" t="s">
        <v>21</v>
      </c>
    </row>
    <row r="9" spans="1:4" ht="16.5">
      <c r="A9" s="3" t="s">
        <v>9</v>
      </c>
      <c r="B9" s="4">
        <v>1</v>
      </c>
      <c r="C9" s="1" t="s">
        <v>8</v>
      </c>
      <c r="D9" s="1" t="s">
        <v>22</v>
      </c>
    </row>
    <row r="10" spans="1:4" ht="16.5">
      <c r="A10" s="3" t="s">
        <v>10</v>
      </c>
      <c r="B10" s="4">
        <v>1</v>
      </c>
      <c r="C10" s="1" t="s">
        <v>8</v>
      </c>
      <c r="D10" s="1" t="s">
        <v>22</v>
      </c>
    </row>
    <row r="11" spans="1:4" ht="16.5">
      <c r="A11" s="3" t="s">
        <v>11</v>
      </c>
      <c r="B11" s="4">
        <v>1</v>
      </c>
      <c r="C11" s="1" t="s">
        <v>8</v>
      </c>
      <c r="D11" s="1" t="s">
        <v>22</v>
      </c>
    </row>
    <row r="12" spans="1:4" ht="16.5">
      <c r="A12" s="3" t="s">
        <v>12</v>
      </c>
      <c r="B12" s="4">
        <v>1</v>
      </c>
      <c r="C12" s="1" t="s">
        <v>8</v>
      </c>
      <c r="D12" s="1" t="s">
        <v>22</v>
      </c>
    </row>
    <row r="13" spans="1:4">
      <c r="A13" s="3" t="s">
        <v>13</v>
      </c>
      <c r="B13" s="4">
        <v>1</v>
      </c>
      <c r="C13" s="1" t="s">
        <v>8</v>
      </c>
      <c r="D13" s="1" t="s">
        <v>22</v>
      </c>
    </row>
    <row r="14" spans="1:4">
      <c r="A14" s="3" t="s">
        <v>14</v>
      </c>
      <c r="B14" s="4">
        <v>1</v>
      </c>
      <c r="C14" s="1" t="s">
        <v>8</v>
      </c>
      <c r="D14" s="1" t="s">
        <v>22</v>
      </c>
    </row>
    <row r="15" spans="1:4">
      <c r="A15" s="3" t="s">
        <v>4</v>
      </c>
      <c r="B15" s="1">
        <f>SQRT(B13*B14)</f>
        <v>1</v>
      </c>
      <c r="C15" s="1" t="s">
        <v>8</v>
      </c>
      <c r="D15" s="1" t="s">
        <v>23</v>
      </c>
    </row>
    <row r="17" spans="1:4" ht="18.75">
      <c r="A17" s="3" t="s">
        <v>15</v>
      </c>
      <c r="B17" s="2">
        <f>B3*B2/B9^2</f>
        <v>23400</v>
      </c>
      <c r="C17" s="1" t="s">
        <v>19</v>
      </c>
      <c r="D17" s="1" t="s">
        <v>23</v>
      </c>
    </row>
    <row r="18" spans="1:4" ht="18.75">
      <c r="A18" s="3" t="s">
        <v>16</v>
      </c>
      <c r="B18" s="2">
        <f>B17*(B9/(B9+B10))^2</f>
        <v>5850</v>
      </c>
      <c r="C18" s="1" t="s">
        <v>19</v>
      </c>
      <c r="D18" s="1" t="s">
        <v>23</v>
      </c>
    </row>
    <row r="19" spans="1:4" ht="18.75">
      <c r="A19" s="3" t="s">
        <v>17</v>
      </c>
      <c r="B19" s="2">
        <f>B18*B4*B6*(B15/(B15+B11))^2</f>
        <v>175.5</v>
      </c>
      <c r="C19" s="1" t="s">
        <v>19</v>
      </c>
      <c r="D19" s="1" t="s">
        <v>23</v>
      </c>
    </row>
    <row r="20" spans="1:4" ht="18.75">
      <c r="A20" s="3" t="s">
        <v>18</v>
      </c>
      <c r="B20" s="2">
        <f>B19*B5*(B15/(B15+B12))^2</f>
        <v>3.5100000000000002</v>
      </c>
      <c r="C20" s="1" t="s">
        <v>19</v>
      </c>
      <c r="D20" s="1" t="s">
        <v>23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9407-AD67-4618-8B6E-6A8A19A3360D}">
  <dimension ref="A1:D15"/>
  <sheetViews>
    <sheetView workbookViewId="0">
      <selection activeCell="A5" sqref="A5"/>
    </sheetView>
  </sheetViews>
  <sheetFormatPr defaultRowHeight="15"/>
  <cols>
    <col min="1" max="1" width="37.125" style="1" customWidth="1"/>
    <col min="2" max="2" width="9.5" style="1" bestFit="1" customWidth="1"/>
    <col min="3" max="3" width="14.375" style="1" customWidth="1"/>
    <col min="4" max="16384" width="9" style="1"/>
  </cols>
  <sheetData>
    <row r="1" spans="1:4">
      <c r="A1" s="1" t="s">
        <v>20</v>
      </c>
      <c r="D1" s="1" t="s">
        <v>24</v>
      </c>
    </row>
    <row r="2" spans="1:4" ht="21">
      <c r="A2" s="1" t="s">
        <v>41</v>
      </c>
      <c r="B2" s="2">
        <v>2.0000000000000002E-15</v>
      </c>
      <c r="C2" s="1" t="s">
        <v>25</v>
      </c>
      <c r="D2" s="1" t="s">
        <v>22</v>
      </c>
    </row>
    <row r="3" spans="1:4">
      <c r="A3" s="1" t="s">
        <v>29</v>
      </c>
      <c r="B3" s="2">
        <v>400</v>
      </c>
      <c r="C3" s="1" t="s">
        <v>30</v>
      </c>
      <c r="D3" s="1" t="s">
        <v>22</v>
      </c>
    </row>
    <row r="4" spans="1:4">
      <c r="A4" s="1" t="s">
        <v>26</v>
      </c>
      <c r="B4" s="2">
        <v>250000</v>
      </c>
      <c r="C4" s="1" t="s">
        <v>13</v>
      </c>
      <c r="D4" s="1" t="s">
        <v>22</v>
      </c>
    </row>
    <row r="5" spans="1:4" ht="18.75">
      <c r="A5" s="1" t="s">
        <v>40</v>
      </c>
      <c r="B5" s="1">
        <v>90</v>
      </c>
      <c r="C5" s="1" t="s">
        <v>27</v>
      </c>
      <c r="D5" s="1" t="s">
        <v>22</v>
      </c>
    </row>
    <row r="6" spans="1:4">
      <c r="A6" s="1" t="s">
        <v>39</v>
      </c>
      <c r="B6" s="2">
        <f>B4/(B3*1000000*1.602E-19)</f>
        <v>3901373283395755.5</v>
      </c>
      <c r="C6" s="1" t="s">
        <v>28</v>
      </c>
      <c r="D6" s="1" t="s">
        <v>23</v>
      </c>
    </row>
    <row r="8" spans="1:4">
      <c r="A8" s="1" t="s">
        <v>21</v>
      </c>
    </row>
    <row r="9" spans="1:4">
      <c r="A9" s="1" t="s">
        <v>36</v>
      </c>
      <c r="B9" s="4">
        <v>1</v>
      </c>
      <c r="C9" s="1" t="s">
        <v>8</v>
      </c>
      <c r="D9" s="1" t="s">
        <v>22</v>
      </c>
    </row>
    <row r="10" spans="1:4" ht="18">
      <c r="A10" s="1" t="s">
        <v>34</v>
      </c>
      <c r="B10" s="4">
        <v>1</v>
      </c>
      <c r="C10" s="1" t="s">
        <v>32</v>
      </c>
      <c r="D10" s="1" t="s">
        <v>22</v>
      </c>
    </row>
    <row r="11" spans="1:4">
      <c r="A11" s="1" t="s">
        <v>35</v>
      </c>
      <c r="B11" s="4">
        <v>1</v>
      </c>
      <c r="C11" s="1" t="s">
        <v>33</v>
      </c>
      <c r="D11" s="1" t="s">
        <v>22</v>
      </c>
    </row>
    <row r="12" spans="1:4" ht="18">
      <c r="A12" s="1" t="s">
        <v>37</v>
      </c>
      <c r="B12" s="5">
        <f>B10*B11</f>
        <v>1</v>
      </c>
      <c r="C12" s="1" t="s">
        <v>27</v>
      </c>
      <c r="D12" s="1" t="s">
        <v>23</v>
      </c>
    </row>
    <row r="13" spans="1:4">
      <c r="B13" s="5"/>
    </row>
    <row r="15" spans="1:4">
      <c r="A15" s="1" t="s">
        <v>38</v>
      </c>
      <c r="B15" s="2">
        <f>B2*B6*EXP(-B12/B5)/B9^2</f>
        <v>7.7165292547902808</v>
      </c>
      <c r="C15" s="1" t="s">
        <v>31</v>
      </c>
      <c r="D15" s="1" t="s">
        <v>23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DIN</vt:lpstr>
      <vt:lpstr>Tesch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Tatsuhiko Sato</dc:creator>
  <cp:lastModifiedBy>tatsu</cp:lastModifiedBy>
  <dcterms:created xsi:type="dcterms:W3CDTF">2015-06-05T18:19:34Z</dcterms:created>
  <dcterms:modified xsi:type="dcterms:W3CDTF">2022-03-03T06:21:37Z</dcterms:modified>
</cp:coreProperties>
</file>